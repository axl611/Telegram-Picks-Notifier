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buelo" state="visible" r:id="rId4"/>
    <sheet sheetId="2" name="Cristian Rey" state="visible" r:id="rId5"/>
    <sheet sheetId="3" name="Roberto Rey" state="visible" r:id="rId6"/>
    <sheet sheetId="4" name="General" state="visible" r:id="rId7"/>
    <sheet sheetId="5" name="Summary" state="visible" r:id="rId8"/>
    <sheet sheetId="6" name="_Info" state="hidden" r:id="rId9"/>
  </sheets>
  <calcPr calcId="171027"/>
</workbook>
</file>

<file path=xl/sharedStrings.xml><?xml version="1.0" encoding="utf-8"?>
<sst xmlns="http://schemas.openxmlformats.org/spreadsheetml/2006/main" count="72" uniqueCount="28">
  <si>
    <t>Date</t>
  </si>
  <si>
    <t>Sport</t>
  </si>
  <si>
    <t>Match</t>
  </si>
  <si>
    <t>Pick</t>
  </si>
  <si>
    <t>Odds</t>
  </si>
  <si>
    <t>Bet</t>
  </si>
  <si>
    <t>Result</t>
  </si>
  <si>
    <t>Profit/Loss</t>
  </si>
  <si>
    <t>Balance</t>
  </si>
  <si>
    <t>02 Mar</t>
  </si>
  <si>
    <t>SOCCER</t>
  </si>
  <si>
    <t>Sí Birmingham vs. FC Middlesbrough</t>
  </si>
  <si>
    <t>Ambos equipos marcan</t>
  </si>
  <si>
    <t/>
  </si>
  <si>
    <t>Tipster</t>
  </si>
  <si>
    <t>Abuelo</t>
  </si>
  <si>
    <t>PICKS TRACKER - SUMMARY</t>
  </si>
  <si>
    <t>Cristian Rey</t>
  </si>
  <si>
    <t>Roberto Rey</t>
  </si>
  <si>
    <t>TOTAL</t>
  </si>
  <si>
    <t>Total Picks</t>
  </si>
  <si>
    <t>Wins</t>
  </si>
  <si>
    <t>Losses</t>
  </si>
  <si>
    <t>Pushes</t>
  </si>
  <si>
    <t>Win Rate %</t>
  </si>
  <si>
    <t>Total Profit/Loss</t>
  </si>
  <si>
    <t>Yield %</t>
  </si>
  <si>
    <t>SchemaVersion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</si>
</sst>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F4E79"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2" fillId="0" borderId="0" xfId="0" applyFont="1"/>
    <xf numFmtId="0" fontId="1" fillId="2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FormatPr defaultRowHeight="15" outlineLevelRow="0" outlineLevelCol="0" x14ac:dyDescent="55"/>
  <cols>
    <col min="1" max="1" width="12" customWidth="1"/>
    <col min="2" max="2" width="10" customWidth="1"/>
    <col min="3" max="3" width="35" customWidth="1"/>
    <col min="4" max="4" width="30" customWidth="1"/>
    <col min="5" max="5" width="8" customWidth="1"/>
    <col min="6" max="7" width="10" customWidth="1"/>
    <col min="8" max="9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>
        <v>1.71</v>
      </c>
      <c r="F2">
        <v>2000</v>
      </c>
      <c r="G2" t="s">
        <v>13</v>
      </c>
      <c r="H2" s="2">
        <f>IF(G2="W",(F2-1)*2000,IF(G2="L",-2000,0))</f>
      </c>
      <c r="I2" s="2">
        <f>H2</f>
      </c>
    </row>
    <row r="3" spans="1:9" x14ac:dyDescent="0.25">
      <c r="A3" t="s">
        <v>9</v>
      </c>
      <c r="B3" t="s">
        <v>10</v>
      </c>
      <c r="C3" t="s">
        <v>11</v>
      </c>
      <c r="D3" t="s">
        <v>12</v>
      </c>
      <c r="E3">
        <v>1.71</v>
      </c>
      <c r="F3">
        <v>2000</v>
      </c>
      <c r="G3" t="s">
        <v>13</v>
      </c>
      <c r="H3" s="2">
        <f>IF(G3="W",(F3-1)*2000,IF(G3="L",-2000,0))</f>
      </c>
      <c r="I3" s="2">
        <f>I2+H3</f>
      </c>
    </row>
  </sheetData>
  <dataValidations count="2">
    <dataValidation sqref="Object]"/>
    <dataValidation sqref="[object"/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FormatPr defaultRowHeight="15" outlineLevelRow="0" outlineLevelCol="0" x14ac:dyDescent="55"/>
  <cols>
    <col min="1" max="1" width="12" customWidth="1"/>
    <col min="2" max="2" width="10" customWidth="1"/>
    <col min="3" max="3" width="35" customWidth="1"/>
    <col min="4" max="4" width="30" customWidth="1"/>
    <col min="5" max="5" width="8" customWidth="1"/>
    <col min="6" max="7" width="10" customWidth="1"/>
    <col min="8" max="9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FormatPr defaultRowHeight="15" outlineLevelRow="0" outlineLevelCol="0" x14ac:dyDescent="55"/>
  <cols>
    <col min="1" max="1" width="12" customWidth="1"/>
    <col min="2" max="2" width="10" customWidth="1"/>
    <col min="3" max="3" width="35" customWidth="1"/>
    <col min="4" max="4" width="30" customWidth="1"/>
    <col min="5" max="5" width="8" customWidth="1"/>
    <col min="6" max="7" width="10" customWidth="1"/>
    <col min="8" max="9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FormatPr defaultRowHeight="15" outlineLevelRow="0" outlineLevelCol="0" x14ac:dyDescent="55"/>
  <cols>
    <col min="1" max="1" width="12" customWidth="1"/>
    <col min="2" max="2" width="15" customWidth="1"/>
    <col min="3" max="3" width="10" customWidth="1"/>
    <col min="4" max="4" width="35" customWidth="1"/>
    <col min="5" max="5" width="30" customWidth="1"/>
    <col min="6" max="6" width="8" customWidth="1"/>
    <col min="7" max="8" width="10" customWidth="1"/>
    <col min="9" max="9" width="14" customWidth="1"/>
  </cols>
  <sheetData>
    <row r="1" spans="1:9" x14ac:dyDescent="0.25">
      <c r="A1" s="1" t="s">
        <v>0</v>
      </c>
      <c r="B1" s="1" t="s">
        <v>14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t="s">
        <v>9</v>
      </c>
      <c r="B2" t="s">
        <v>15</v>
      </c>
      <c r="C2" t="s">
        <v>10</v>
      </c>
      <c r="D2" t="s">
        <v>11</v>
      </c>
      <c r="E2" t="s">
        <v>12</v>
      </c>
      <c r="F2">
        <v>1.71</v>
      </c>
      <c r="G2">
        <v>2000</v>
      </c>
      <c r="H2" t="s">
        <v>13</v>
      </c>
      <c r="I2" s="2">
        <f>IF(H2="W",(G2-1)*2000,IF(H2="L",-2000,0))</f>
      </c>
    </row>
    <row r="3" spans="1:9" x14ac:dyDescent="0.25">
      <c r="A3" t="s">
        <v>9</v>
      </c>
      <c r="B3" t="s">
        <v>15</v>
      </c>
      <c r="C3" t="s">
        <v>10</v>
      </c>
      <c r="D3" t="s">
        <v>11</v>
      </c>
      <c r="E3" t="s">
        <v>12</v>
      </c>
      <c r="F3">
        <v>1.71</v>
      </c>
      <c r="G3">
        <v>2000</v>
      </c>
      <c r="H3" t="s">
        <v>13</v>
      </c>
      <c r="I3" s="2">
        <f>IF(H3="W",(G3-1)*2000,IF(H3="L",-2000,0))</f>
      </c>
    </row>
  </sheetData>
  <dataValidations count="2">
    <dataValidation sqref="Object]"/>
    <dataValidation sqref="[object"/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20" customWidth="1"/>
    <col min="2" max="5" width="15" customWidth="1"/>
  </cols>
  <sheetData>
    <row r="1" spans="1:1" x14ac:dyDescent="0.25">
      <c r="A1" s="3" t="s">
        <v>16</v>
      </c>
    </row>
    <row r="2" spans="1:5" x14ac:dyDescent="0.25">
      <c r="A2" s="4" t="s">
        <v>13</v>
      </c>
      <c r="B2" s="4" t="s">
        <v>15</v>
      </c>
      <c r="C2" s="4" t="s">
        <v>17</v>
      </c>
      <c r="D2" s="4" t="s">
        <v>18</v>
      </c>
      <c r="E2" s="4" t="s">
        <v>19</v>
      </c>
    </row>
    <row r="3" spans="1:5" x14ac:dyDescent="0.25">
      <c r="A3" s="5" t="s">
        <v>20</v>
      </c>
      <c r="B3" s="6">
        <f>COUNTA(Abuelo!A2:A1000)-COUNTA(Abuelo!G2:G1000)</f>
      </c>
      <c r="C3" s="6">
        <f>COUNTA('Cristian Rey'!A2:A1000)-COUNTA('Cristian Rey'!G2:G1000)</f>
      </c>
      <c r="D3" s="6">
        <f>COUNTA('Roberto Rey'!A2:A1000)-COUNTA('Roberto Rey'!G2:G1000)</f>
      </c>
      <c r="E3" s="6">
        <f>B3+C3+D3</f>
      </c>
    </row>
    <row r="4" spans="1:5" x14ac:dyDescent="0.25">
      <c r="A4" s="5" t="s">
        <v>21</v>
      </c>
      <c r="B4" s="6">
        <f>COUNTIF(Abuelo!G:G,"W")</f>
      </c>
      <c r="C4" s="6">
        <f>COUNTIF('Cristian Rey'!G:G,"W")</f>
      </c>
      <c r="D4" s="6">
        <f>COUNTIF('Roberto Rey'!G:G,"W")</f>
      </c>
      <c r="E4" s="6">
        <f>B4+C4+D4</f>
      </c>
    </row>
    <row r="5" spans="1:5" x14ac:dyDescent="0.25">
      <c r="A5" s="5" t="s">
        <v>22</v>
      </c>
      <c r="B5" s="6">
        <f>COUNTIF(Abuelo!G:G,"L")</f>
      </c>
      <c r="C5" s="6">
        <f>COUNTIF('Cristian Rey'!G:G,"L")</f>
      </c>
      <c r="D5" s="6">
        <f>COUNTIF('Roberto Rey'!G:G,"L")</f>
      </c>
      <c r="E5" s="6">
        <f>B5+C5+D5</f>
      </c>
    </row>
    <row r="6" spans="1:5" x14ac:dyDescent="0.25">
      <c r="A6" s="5" t="s">
        <v>23</v>
      </c>
      <c r="B6" s="6">
        <f>COUNTIF(Abuelo!G:G,"P")</f>
      </c>
      <c r="C6" s="6">
        <f>COUNTIF('Cristian Rey'!G:G,"P")</f>
      </c>
      <c r="D6" s="6">
        <f>COUNTIF('Roberto Rey'!G:G,"P")</f>
      </c>
      <c r="E6" s="6">
        <f>B6+C6+D6</f>
      </c>
    </row>
    <row r="7" spans="1:5" x14ac:dyDescent="0.25">
      <c r="A7" s="5" t="s">
        <v>24</v>
      </c>
      <c r="B7" s="7">
        <f>IF((B4+B5)=0,0,B4/(B4+B5))</f>
      </c>
      <c r="C7" s="7">
        <f>IF((C4+C5)=0,0,C4/(C4+C5))</f>
      </c>
      <c r="D7" s="7">
        <f>IF((D4+D5)=0,0,D4/(D4+D5))</f>
      </c>
      <c r="E7" s="7">
        <f>IF((B4+B5+C4+C5+D4+D5)=0,0,(B4+C4+D4)/(B4+B5+C4+C5+D4+D5))</f>
      </c>
    </row>
    <row r="8" spans="1:5" x14ac:dyDescent="0.25">
      <c r="A8" s="5" t="s">
        <v>25</v>
      </c>
      <c r="B8" s="8">
        <f>SUMIF(Abuelo!G:G,"W",Abuelo!H:H)+SUMIF(Abuelo!G:G,"L",Abuelo!H:H)</f>
      </c>
      <c r="C8" s="8">
        <f>SUMIF('Cristian Rey'!G:G,"W",'Cristian Rey'!H:H)+SUMIF('Cristian Rey'!G:G,"L",'Cristian Rey'!H:H)</f>
      </c>
      <c r="D8" s="8">
        <f>SUMIF('Roberto Rey'!G:G,"W",'Roberto Rey'!H:H)+SUMIF('Roberto Rey'!G:G,"L",'Roberto Rey'!H:H)</f>
      </c>
      <c r="E8" s="8">
        <f>B8+C8+D8</f>
      </c>
    </row>
    <row r="9" spans="1:5" x14ac:dyDescent="0.25">
      <c r="A9" s="5" t="s">
        <v>26</v>
      </c>
      <c r="B9" s="7">
        <f>IF(B3=0,0,B8/(B3*2000))</f>
      </c>
      <c r="C9" s="7">
        <f>IF(C3=0,0,C8/(C3*2000))</f>
      </c>
      <c r="D9" s="7">
        <f>IF(D3=0,0,D8/(D3*2000))</f>
      </c>
      <c r="E9" s="7">
        <f>IF(E3=0,0,E8/(E3*2000))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FormatPr defaultRowHeight="15" outlineLevelRow="0" outlineLevelCol="0" x14ac:dyDescent="55"/>
  <sheetData>
    <row r="1" spans="1:2" x14ac:dyDescent="0.25">
      <c r="A1" t="s">
        <v>27</v>
      </c>
      <c r="B1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Abuelo</vt:lpstr>
      <vt:lpstr>Cristian Rey</vt:lpstr>
      <vt:lpstr>Roberto Rey</vt:lpstr>
      <vt:lpstr>General</vt:lpstr>
      <vt:lpstr>Summary</vt:lpstr>
      <vt:lpstr>_Info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2026-03-03T05:02:04Z</dcterms:created>
  <dcterms:modified xsi:type="dcterms:W3CDTF">2026-03-03T05:02:04Z</dcterms:modified>
</cp:coreProperties>
</file>